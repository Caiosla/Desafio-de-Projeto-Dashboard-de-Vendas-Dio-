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xr:revisionPtr revIDLastSave="0" documentId="8_{A26780C2-1394-47F0-B8B2-EF914F2BEFA6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Dados" sheetId="1" r:id="rId1"/>
    <sheet name="Calculos" sheetId="5" r:id="rId2"/>
    <sheet name="Dashboard" sheetId="6" r:id="rId3"/>
  </sheets>
  <definedNames>
    <definedName name="SegmentaçãodeDados_Categoria1">#N/A</definedName>
    <definedName name="SegmentaçãodeDados_Vendedor1">#N/A</definedName>
  </definedNames>
  <calcPr calcId="191028"/>
  <pivotCaches>
    <pivotCache cacheId="19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6" l="1"/>
  <c r="G22" i="1"/>
  <c r="F3" i="6"/>
  <c r="B3" i="6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<sst xmlns="http://schemas.openxmlformats.org/spreadsheetml/2006/main" count="107" uniqueCount="47">
  <si>
    <t>Data</t>
  </si>
  <si>
    <t>Vendedor</t>
  </si>
  <si>
    <t>Produto</t>
  </si>
  <si>
    <t>Categoria</t>
  </si>
  <si>
    <t>Quantidade</t>
  </si>
  <si>
    <t>Preço Unitário</t>
  </si>
  <si>
    <t>Total</t>
  </si>
  <si>
    <t>Ana Souza</t>
  </si>
  <si>
    <t>Notebook Dell</t>
  </si>
  <si>
    <t>Informática</t>
  </si>
  <si>
    <t>Carlos Lima</t>
  </si>
  <si>
    <t>Mouse Gamer</t>
  </si>
  <si>
    <t>Periféricos</t>
  </si>
  <si>
    <t>Juliana Reis</t>
  </si>
  <si>
    <t>Teclado Mecânico</t>
  </si>
  <si>
    <t>Pedro Alves</t>
  </si>
  <si>
    <t>Monitor 24"</t>
  </si>
  <si>
    <t>Headset</t>
  </si>
  <si>
    <t>Áudio</t>
  </si>
  <si>
    <t>Cadeira Gamer</t>
  </si>
  <si>
    <t>Móveis</t>
  </si>
  <si>
    <t>Webcam HD</t>
  </si>
  <si>
    <t>SSD 1TB</t>
  </si>
  <si>
    <t>Armazenamento</t>
  </si>
  <si>
    <t>Impressora</t>
  </si>
  <si>
    <t>Escritório</t>
  </si>
  <si>
    <t>Notebook Lenovo</t>
  </si>
  <si>
    <t>Caixa de Som</t>
  </si>
  <si>
    <t>HD Externo 2TB</t>
  </si>
  <si>
    <t>Tablet Samsung</t>
  </si>
  <si>
    <t>Microfone USB</t>
  </si>
  <si>
    <t>Roteador Wi-Fi</t>
  </si>
  <si>
    <t>Redes</t>
  </si>
  <si>
    <t>Pen Drive 64GB</t>
  </si>
  <si>
    <t>Smartwatch</t>
  </si>
  <si>
    <t>Eletrônicos</t>
  </si>
  <si>
    <t>Monitor 27"</t>
  </si>
  <si>
    <t>Notebook Acer</t>
  </si>
  <si>
    <t>Teclado Sem Fio</t>
  </si>
  <si>
    <t>Valor dos Produtos</t>
  </si>
  <si>
    <t>Valor arrecadado do dia</t>
  </si>
  <si>
    <t>Valor das Vendas</t>
  </si>
  <si>
    <t>Total Geral</t>
  </si>
  <si>
    <t>Dashboard de Vendas 2026</t>
  </si>
  <si>
    <t>Total de Vendas</t>
  </si>
  <si>
    <t>Ticket Médio</t>
  </si>
  <si>
    <t>Melhor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</si>
</sst>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charset val="1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center" wrapText="1"/>
    </xf>
    <xf numFmtId="0" fontId="3" fillId="4" borderId="0" xfId="0" applyFont="1" applyFill="1"/>
    <xf numFmtId="0" fontId="3" fillId="3" borderId="0" xfId="0" applyFont="1" applyFill="1"/>
    <xf numFmtId="0" fontId="3" fillId="5" borderId="0" xfId="0" applyFont="1" applyFill="1"/>
    <xf numFmtId="2" fontId="3" fillId="4" borderId="0" xfId="0" applyNumberFormat="1" applyFont="1" applyFill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 3.xlsx]Calculos!Tabela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Calculos!$A$2:$A$22</c:f>
              <c:strCache>
                <c:ptCount val="20"/>
                <c:pt idx="0">
                  <c:v>Cadeira Gamer</c:v>
                </c:pt>
                <c:pt idx="1">
                  <c:v>Caixa de Som</c:v>
                </c:pt>
                <c:pt idx="2">
                  <c:v>HD Externo 2TB</c:v>
                </c:pt>
                <c:pt idx="3">
                  <c:v>Headset</c:v>
                </c:pt>
                <c:pt idx="4">
                  <c:v>Impressora</c:v>
                </c:pt>
                <c:pt idx="5">
                  <c:v>Microfone USB</c:v>
                </c:pt>
                <c:pt idx="6">
                  <c:v>Monitor 24"</c:v>
                </c:pt>
                <c:pt idx="7">
                  <c:v>Monitor 27"</c:v>
                </c:pt>
                <c:pt idx="8">
                  <c:v>Mouse Gamer</c:v>
                </c:pt>
                <c:pt idx="9">
                  <c:v>Notebook Acer</c:v>
                </c:pt>
                <c:pt idx="10">
                  <c:v>Notebook Dell</c:v>
                </c:pt>
                <c:pt idx="11">
                  <c:v>Notebook Lenovo</c:v>
                </c:pt>
                <c:pt idx="12">
                  <c:v>Pen Drive 64GB</c:v>
                </c:pt>
                <c:pt idx="13">
                  <c:v>Roteador Wi-Fi</c:v>
                </c:pt>
                <c:pt idx="14">
                  <c:v>Smartwatch</c:v>
                </c:pt>
                <c:pt idx="15">
                  <c:v>SSD 1TB</c:v>
                </c:pt>
                <c:pt idx="16">
                  <c:v>Tablet Samsung</c:v>
                </c:pt>
                <c:pt idx="17">
                  <c:v>Teclado Mecânico</c:v>
                </c:pt>
                <c:pt idx="18">
                  <c:v>Teclado Sem Fio</c:v>
                </c:pt>
                <c:pt idx="19">
                  <c:v>Webcam HD</c:v>
                </c:pt>
              </c:strCache>
            </c:strRef>
          </c:cat>
          <c:val>
            <c:numRef>
              <c:f>Calculos!$B$2:$B$22</c:f>
              <c:numCache>
                <c:formatCode>General</c:formatCode>
                <c:ptCount val="20"/>
                <c:pt idx="0">
                  <c:v>1450</c:v>
                </c:pt>
                <c:pt idx="1">
                  <c:v>1000</c:v>
                </c:pt>
                <c:pt idx="2">
                  <c:v>1120</c:v>
                </c:pt>
                <c:pt idx="3">
                  <c:v>840</c:v>
                </c:pt>
                <c:pt idx="4">
                  <c:v>1560</c:v>
                </c:pt>
                <c:pt idx="5">
                  <c:v>1600</c:v>
                </c:pt>
                <c:pt idx="6">
                  <c:v>1900</c:v>
                </c:pt>
                <c:pt idx="7">
                  <c:v>2700</c:v>
                </c:pt>
                <c:pt idx="8">
                  <c:v>600</c:v>
                </c:pt>
                <c:pt idx="9">
                  <c:v>7800</c:v>
                </c:pt>
                <c:pt idx="10">
                  <c:v>7000</c:v>
                </c:pt>
                <c:pt idx="11">
                  <c:v>4200</c:v>
                </c:pt>
                <c:pt idx="12">
                  <c:v>550</c:v>
                </c:pt>
                <c:pt idx="13">
                  <c:v>1160</c:v>
                </c:pt>
                <c:pt idx="14">
                  <c:v>1960</c:v>
                </c:pt>
                <c:pt idx="15">
                  <c:v>1260</c:v>
                </c:pt>
                <c:pt idx="16">
                  <c:v>4800</c:v>
                </c:pt>
                <c:pt idx="17">
                  <c:v>840</c:v>
                </c:pt>
                <c:pt idx="18">
                  <c:v>600</c:v>
                </c:pt>
                <c:pt idx="19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F98-B39C-3A2095809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3123592"/>
        <c:axId val="1453125640"/>
      </c:barChart>
      <c:catAx>
        <c:axId val="1453123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25640"/>
        <c:crosses val="autoZero"/>
        <c:auto val="1"/>
        <c:lblAlgn val="ctr"/>
        <c:lblOffset val="100"/>
        <c:noMultiLvlLbl val="0"/>
      </c:catAx>
      <c:valAx>
        <c:axId val="145312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2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 3.xlsx]Calculos!Tabela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das 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Calculos!$E$1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Calculos!$D$2:$D$13</c:f>
              <c:strCache>
                <c:ptCount val="11"/>
                <c:pt idx="0">
                  <c:v>01/05/2026</c:v>
                </c:pt>
                <c:pt idx="1">
                  <c:v>02/05/2026</c:v>
                </c:pt>
                <c:pt idx="2">
                  <c:v>03/05/2026</c:v>
                </c:pt>
                <c:pt idx="3">
                  <c:v>04/05/2026</c:v>
                </c:pt>
                <c:pt idx="4">
                  <c:v>05/05/2026</c:v>
                </c:pt>
                <c:pt idx="5">
                  <c:v>06/05/2026</c:v>
                </c:pt>
                <c:pt idx="6">
                  <c:v>07/05/2026</c:v>
                </c:pt>
                <c:pt idx="7">
                  <c:v>08/05/2026</c:v>
                </c:pt>
                <c:pt idx="8">
                  <c:v>09/05/2026</c:v>
                </c:pt>
                <c:pt idx="9">
                  <c:v>10/05/2026</c:v>
                </c:pt>
                <c:pt idx="10">
                  <c:v>11/05/2026</c:v>
                </c:pt>
              </c:strCache>
            </c:strRef>
          </c:cat>
          <c:val>
            <c:numRef>
              <c:f>Calculos!$E$2:$E$13</c:f>
              <c:numCache>
                <c:formatCode>General</c:formatCode>
                <c:ptCount val="11"/>
                <c:pt idx="0">
                  <c:v>7600</c:v>
                </c:pt>
                <c:pt idx="1">
                  <c:v>2740</c:v>
                </c:pt>
                <c:pt idx="2">
                  <c:v>2290</c:v>
                </c:pt>
                <c:pt idx="3">
                  <c:v>2340</c:v>
                </c:pt>
                <c:pt idx="4">
                  <c:v>5760</c:v>
                </c:pt>
                <c:pt idx="5">
                  <c:v>2120</c:v>
                </c:pt>
                <c:pt idx="6">
                  <c:v>6400</c:v>
                </c:pt>
                <c:pt idx="7">
                  <c:v>1710</c:v>
                </c:pt>
                <c:pt idx="8">
                  <c:v>4660</c:v>
                </c:pt>
                <c:pt idx="9">
                  <c:v>4500</c:v>
                </c:pt>
                <c:pt idx="10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4-4F62-9A7B-AFAE47F1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877192"/>
        <c:axId val="1318883336"/>
      </c:lineChart>
      <c:catAx>
        <c:axId val="131887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83336"/>
        <c:crosses val="autoZero"/>
        <c:auto val="1"/>
        <c:lblAlgn val="ctr"/>
        <c:lblOffset val="100"/>
        <c:noMultiLvlLbl val="0"/>
      </c:catAx>
      <c:valAx>
        <c:axId val="13188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87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 3.xlsx]Calculos!Tabela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Calculos!$G$2:$G$6</c:f>
              <c:strCache>
                <c:ptCount val="4"/>
                <c:pt idx="0">
                  <c:v>Ana Souza</c:v>
                </c:pt>
                <c:pt idx="1">
                  <c:v>Carlos Lima</c:v>
                </c:pt>
                <c:pt idx="2">
                  <c:v>Juliana Reis</c:v>
                </c:pt>
                <c:pt idx="3">
                  <c:v>Pedro Alves</c:v>
                </c:pt>
              </c:strCache>
            </c:strRef>
          </c:cat>
          <c:val>
            <c:numRef>
              <c:f>Calculos!$H$2:$H$6</c:f>
              <c:numCache>
                <c:formatCode>General</c:formatCode>
                <c:ptCount val="4"/>
                <c:pt idx="0">
                  <c:v>20060</c:v>
                </c:pt>
                <c:pt idx="1">
                  <c:v>10550</c:v>
                </c:pt>
                <c:pt idx="2">
                  <c:v>7980</c:v>
                </c:pt>
                <c:pt idx="3">
                  <c:v>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C-4D88-9483-56DE692F8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409288"/>
        <c:axId val="1410335240"/>
      </c:barChart>
      <c:catAx>
        <c:axId val="192540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35240"/>
        <c:crosses val="autoZero"/>
        <c:auto val="1"/>
        <c:lblAlgn val="ctr"/>
        <c:lblOffset val="100"/>
        <c:noMultiLvlLbl val="0"/>
      </c:catAx>
      <c:valAx>
        <c:axId val="141033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0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3</xdr:row>
      <xdr:rowOff>19050</xdr:rowOff>
    </xdr:from>
    <xdr:to>
      <xdr:col>11</xdr:col>
      <xdr:colOff>600075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A39818D6-A880-A2FD-43CA-24820C640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9475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3</xdr:row>
      <xdr:rowOff>19050</xdr:rowOff>
    </xdr:from>
    <xdr:to>
      <xdr:col>15</xdr:col>
      <xdr:colOff>219075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 1">
              <a:extLst>
                <a:ext uri="{FF2B5EF4-FFF2-40B4-BE49-F238E27FC236}">
                  <a16:creationId xmlns:a16="http://schemas.microsoft.com/office/drawing/2014/main" id="{FEDE44AD-DAA2-6AA2-6650-0520E0AECF7B}"/>
                </a:ext>
                <a:ext uri="{147F2762-F138-4A5C-976F-8EAC2B608ADB}">
                  <a16:predDERef xmlns:a16="http://schemas.microsoft.com/office/drawing/2014/main" pred="{A39818D6-A880-A2FD-43CA-24820C640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86875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</xdr:row>
      <xdr:rowOff>85725</xdr:rowOff>
    </xdr:from>
    <xdr:to>
      <xdr:col>12</xdr:col>
      <xdr:colOff>257175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994707-EDD2-F85F-4F3F-D3E945050740}"/>
            </a:ext>
            <a:ext uri="{147F2762-F138-4A5C-976F-8EAC2B608ADB}">
              <a16:predDERef xmlns:a16="http://schemas.microsoft.com/office/drawing/2014/main" pred="{FEDE44AD-DAA2-6AA2-6650-0520E0AEC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257175</xdr:colOff>
      <xdr:row>4</xdr:row>
      <xdr:rowOff>85725</xdr:rowOff>
    </xdr:from>
    <xdr:to>
      <xdr:col>18</xdr:col>
      <xdr:colOff>390525</xdr:colOff>
      <xdr:row>20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EC9C9C-DC81-ED35-6CF7-66BA264A24AC}"/>
            </a:ext>
            <a:ext uri="{147F2762-F138-4A5C-976F-8EAC2B608ADB}">
              <a16:predDERef xmlns:a16="http://schemas.microsoft.com/office/drawing/2014/main" pred="{6F994707-EDD2-F85F-4F3F-D3E945050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</xdr:row>
      <xdr:rowOff>85725</xdr:rowOff>
    </xdr:from>
    <xdr:to>
      <xdr:col>7</xdr:col>
      <xdr:colOff>47625</xdr:colOff>
      <xdr:row>20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EB5767-9854-6FC7-D419-4019CC460F50}"/>
            </a:ext>
            <a:ext uri="{147F2762-F138-4A5C-976F-8EAC2B608ADB}">
              <a16:predDERef xmlns:a16="http://schemas.microsoft.com/office/drawing/2014/main" pred="{B0EC9C9C-DC81-ED35-6CF7-66BA264A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885017824075" createdVersion="8" refreshedVersion="8" minRefreshableVersion="3" recordCount="21" xr:uid="{C5586238-4931-4A6A-A98B-22E5F3CC387A}">
  <cacheSource type="worksheet">
    <worksheetSource name="Tabela1"/>
  </cacheSource>
  <cacheFields count="7">
    <cacheField name="Data" numFmtId="14">
      <sharedItems containsSemiMixedTypes="0" containsNonDate="0" containsDate="1" containsString="0" minDate="2026-05-01T00:00:00" maxDate="2026-05-12T00:00:00" count="1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</sharedItems>
    </cacheField>
    <cacheField name="Vendedor" numFmtId="0">
      <sharedItems count="4">
        <s v="Ana Souza"/>
        <s v="Carlos Lima"/>
        <s v="Juliana Reis"/>
        <s v="Pedro Alves"/>
      </sharedItems>
    </cacheField>
    <cacheField name="Produto" numFmtId="0">
      <sharedItems count="20">
        <s v="Notebook Dell"/>
        <s v="Mouse Gamer"/>
        <s v="Teclado Mecânico"/>
        <s v="Monitor 24&quot;"/>
        <s v="Headset"/>
        <s v="Cadeira Gamer"/>
        <s v="Webcam HD"/>
        <s v="SSD 1TB"/>
        <s v="Impressora"/>
        <s v="Notebook Lenovo"/>
        <s v="Caixa de Som"/>
        <s v="HD Externo 2TB"/>
        <s v="Tablet Samsung"/>
        <s v="Microfone USB"/>
        <s v="Roteador Wi-Fi"/>
        <s v="Pen Drive 64GB"/>
        <s v="Smartwatch"/>
        <s v="Monitor 27&quot;"/>
        <s v="Notebook Acer"/>
        <s v="Teclado Sem Fio"/>
      </sharedItems>
    </cacheField>
    <cacheField name="Categoria" numFmtId="0">
      <sharedItems count="8">
        <s v="Informática"/>
        <s v="Periféricos"/>
        <s v="Áudio"/>
        <s v="Móveis"/>
        <s v="Armazenamento"/>
        <s v="Escritório"/>
        <s v="Redes"/>
        <s v="Eletrônicos"/>
      </sharedItems>
    </cacheField>
    <cacheField name="Quantidade" numFmtId="0">
      <sharedItems containsSemiMixedTypes="0" containsString="0" containsNumber="1" containsInteger="1" minValue="1" maxValue="10"/>
    </cacheField>
    <cacheField name="Preço Unitário" numFmtId="0">
      <sharedItems containsSemiMixedTypes="0" containsString="0" containsNumber="1" containsInteger="1" minValue="55" maxValue="4200"/>
    </cacheField>
    <cacheField name="Total" numFmtId="0">
      <sharedItems containsSemiMixedTypes="0" containsString="0" containsNumber="1" containsInteger="1" minValue="550" maxValue="7000"/>
    </cacheField>
  </cacheFields>
  <extLst>
    <ext xmlns:x14="http://schemas.microsoft.com/office/spreadsheetml/2009/9/main" uri="{725AE2AE-9491-48be-B2B4-4EB974FC3084}">
      <x14:pivotCacheDefinition pivotCacheId="490560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n v="2"/>
    <n v="3500"/>
    <n v="7000"/>
  </r>
  <r>
    <x v="0"/>
    <x v="1"/>
    <x v="1"/>
    <x v="1"/>
    <n v="5"/>
    <n v="120"/>
    <n v="600"/>
  </r>
  <r>
    <x v="1"/>
    <x v="2"/>
    <x v="2"/>
    <x v="1"/>
    <n v="3"/>
    <n v="280"/>
    <n v="840"/>
  </r>
  <r>
    <x v="1"/>
    <x v="3"/>
    <x v="3"/>
    <x v="0"/>
    <n v="2"/>
    <n v="950"/>
    <n v="1900"/>
  </r>
  <r>
    <x v="2"/>
    <x v="0"/>
    <x v="4"/>
    <x v="2"/>
    <n v="4"/>
    <n v="210"/>
    <n v="840"/>
  </r>
  <r>
    <x v="2"/>
    <x v="1"/>
    <x v="5"/>
    <x v="3"/>
    <n v="1"/>
    <n v="1450"/>
    <n v="1450"/>
  </r>
  <r>
    <x v="3"/>
    <x v="2"/>
    <x v="6"/>
    <x v="0"/>
    <n v="6"/>
    <n v="180"/>
    <n v="1080"/>
  </r>
  <r>
    <x v="3"/>
    <x v="3"/>
    <x v="7"/>
    <x v="4"/>
    <n v="3"/>
    <n v="420"/>
    <n v="1260"/>
  </r>
  <r>
    <x v="4"/>
    <x v="0"/>
    <x v="8"/>
    <x v="5"/>
    <n v="2"/>
    <n v="780"/>
    <n v="1560"/>
  </r>
  <r>
    <x v="4"/>
    <x v="1"/>
    <x v="9"/>
    <x v="0"/>
    <n v="1"/>
    <n v="4200"/>
    <n v="4200"/>
  </r>
  <r>
    <x v="5"/>
    <x v="2"/>
    <x v="10"/>
    <x v="2"/>
    <n v="4"/>
    <n v="250"/>
    <n v="1000"/>
  </r>
  <r>
    <x v="5"/>
    <x v="3"/>
    <x v="11"/>
    <x v="4"/>
    <n v="2"/>
    <n v="560"/>
    <n v="1120"/>
  </r>
  <r>
    <x v="6"/>
    <x v="0"/>
    <x v="12"/>
    <x v="0"/>
    <n v="3"/>
    <n v="1600"/>
    <n v="4800"/>
  </r>
  <r>
    <x v="6"/>
    <x v="1"/>
    <x v="13"/>
    <x v="2"/>
    <n v="5"/>
    <n v="320"/>
    <n v="1600"/>
  </r>
  <r>
    <x v="7"/>
    <x v="2"/>
    <x v="14"/>
    <x v="6"/>
    <n v="4"/>
    <n v="290"/>
    <n v="1160"/>
  </r>
  <r>
    <x v="7"/>
    <x v="3"/>
    <x v="15"/>
    <x v="4"/>
    <n v="10"/>
    <n v="55"/>
    <n v="550"/>
  </r>
  <r>
    <x v="8"/>
    <x v="0"/>
    <x v="16"/>
    <x v="7"/>
    <n v="2"/>
    <n v="980"/>
    <n v="1960"/>
  </r>
  <r>
    <x v="8"/>
    <x v="1"/>
    <x v="17"/>
    <x v="0"/>
    <n v="2"/>
    <n v="1350"/>
    <n v="2700"/>
  </r>
  <r>
    <x v="9"/>
    <x v="2"/>
    <x v="18"/>
    <x v="0"/>
    <n v="1"/>
    <n v="3900"/>
    <n v="3900"/>
  </r>
  <r>
    <x v="9"/>
    <x v="3"/>
    <x v="19"/>
    <x v="1"/>
    <n v="4"/>
    <n v="150"/>
    <n v="600"/>
  </r>
  <r>
    <x v="10"/>
    <x v="0"/>
    <x v="18"/>
    <x v="0"/>
    <n v="1"/>
    <n v="3900"/>
    <n v="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4BFAB-5070-4754-AF9A-DB0B69761543}" name="Tabela dinâmica3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G1:H6" firstHeaderRow="1" firstDataRow="1" firstDataCol="1"/>
  <pivotFields count="7">
    <pivotField compact="0" numFmtId="14" outline="0" showAll="0"/>
    <pivotField axis="axisRow" compact="0" outline="0" showAll="0">
      <items count="5">
        <item n="Ana Souza" x="0"/>
        <item x="1"/>
        <item x="2"/>
        <item x="3"/>
        <item t="default"/>
      </items>
    </pivotField>
    <pivotField compact="0" outline="0" showAll="0"/>
    <pivotField compact="0" outline="0" showAll="0">
      <items count="9">
        <item x="4"/>
        <item x="2"/>
        <item x="7"/>
        <item x="5"/>
        <item x="0"/>
        <item x="3"/>
        <item x="1"/>
        <item x="6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Valor das Vendas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757C0-E958-4F8C-811A-F7B8ADEF7C7E}" name="Tabela dinâmica2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D1:E13" firstHeaderRow="1" firstDataRow="1" firstDataCol="1"/>
  <pivotFields count="7">
    <pivotField axis="axisRow" compact="0" numFmtId="14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Valor arrecadado do dia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6115A-BF5C-4292-A792-AFD795B40839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1:B22" firstHeaderRow="1" firstDataRow="1" firstDataCol="1"/>
  <pivotFields count="7">
    <pivotField compact="0" numFmtId="14" outline="0" showAll="0"/>
    <pivotField compact="0" outline="0" showAll="0"/>
    <pivotField axis="axisRow" compact="0" outline="0" showAll="0">
      <items count="21">
        <item x="5"/>
        <item x="10"/>
        <item x="11"/>
        <item x="4"/>
        <item x="8"/>
        <item x="13"/>
        <item x="3"/>
        <item x="17"/>
        <item x="1"/>
        <item x="18"/>
        <item x="0"/>
        <item x="9"/>
        <item x="15"/>
        <item x="14"/>
        <item x="16"/>
        <item x="7"/>
        <item x="12"/>
        <item x="2"/>
        <item x="19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Valor dos Produtos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99704C77-04E5-42DC-824F-C0D9B7703CFF}" sourceName="Vendedor">
  <pivotTables>
    <pivotTable tabId="5" name="Tabela dinâmica3"/>
  </pivotTables>
  <data>
    <tabular pivotCacheId="49056094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E9AD034-B805-4CF1-AD7E-E8F2CF5F7756}" sourceName="Categoria">
  <pivotTables>
    <pivotTable tabId="5" name="Tabela dinâmica3"/>
  </pivotTables>
  <data>
    <tabular pivotCacheId="49056094">
      <items count="8">
        <i x="4" s="1"/>
        <i x="2" s="1"/>
        <i x="7" s="1"/>
        <i x="5" s="1"/>
        <i x="0" s="1"/>
        <i x="3" s="1"/>
        <i x="1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363EC613-7238-4712-A5A1-EC1F8C8D39AC}" cache="SegmentaçãodeDados_Vendedor1" caption="Vendedor" rowHeight="228600"/>
  <slicer name="Categoria 1" xr10:uid="{41E76107-D8D8-4F52-A836-41FFEB54ECF5}" cache="SegmentaçãodeDados_Categoria1" caption="Categoria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28E2A-52AE-4551-9738-95114C052239}" name="Tabela1" displayName="Tabela1" ref="A1:G22" totalsRowShown="0" headerRowDxfId="1">
  <autoFilter ref="A1:G22" xr:uid="{F3728E2A-52AE-4551-9738-95114C052239}"/>
  <tableColumns count="7">
    <tableColumn id="1" xr3:uid="{C12A3955-A777-45F5-AD87-B768D0D078A8}" name="Data" dataDxfId="0"/>
    <tableColumn id="2" xr3:uid="{7BEC689B-02AF-4696-BFB3-CEB975086984}" name="Vendedor"/>
    <tableColumn id="3" xr3:uid="{5F5A9B38-E44F-41A6-8CD5-E01C4857589E}" name="Produto"/>
    <tableColumn id="4" xr3:uid="{730E157E-F06B-4842-8032-B2FC7B7CE4D7}" name="Categoria"/>
    <tableColumn id="5" xr3:uid="{73A297FC-11FD-4926-8E07-29951DFF0344}" name="Quantidade"/>
    <tableColumn id="6" xr3:uid="{A80B0656-0317-47B9-B003-519887618BBA}" name="Preço Unitário"/>
    <tableColumn id="7" xr3:uid="{1F94812C-C463-47D9-98E4-CA44E45D10CF}" name="Total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F23" sqref="F23"/>
    </sheetView>
  </sheetViews>
  <sheetFormatPr defaultRowHeight="15"/>
  <cols>
    <col min="1" max="1" width="11.140625" bestFit="1" customWidth="1"/>
    <col min="2" max="2" width="12" bestFit="1" customWidth="1"/>
    <col min="3" max="3" width="16.42578125" bestFit="1" customWidth="1"/>
    <col min="4" max="4" width="15.42578125" bestFit="1" customWidth="1"/>
    <col min="5" max="5" width="13.7109375" bestFit="1" customWidth="1"/>
    <col min="6" max="6" width="15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46143</v>
      </c>
      <c r="B2" t="s">
        <v>7</v>
      </c>
      <c r="C2" t="s">
        <v>8</v>
      </c>
      <c r="D2" t="s">
        <v>9</v>
      </c>
      <c r="E2">
        <v>2</v>
      </c>
      <c r="F2">
        <v>3500</v>
      </c>
      <c r="G2">
        <f>E2*F2</f>
        <v>7000</v>
      </c>
    </row>
    <row r="3" spans="1:7">
      <c r="A3" s="2">
        <v>46143</v>
      </c>
      <c r="B3" t="s">
        <v>10</v>
      </c>
      <c r="C3" t="s">
        <v>11</v>
      </c>
      <c r="D3" t="s">
        <v>12</v>
      </c>
      <c r="E3">
        <v>5</v>
      </c>
      <c r="F3">
        <v>120</v>
      </c>
      <c r="G3">
        <f t="shared" ref="G3:G21" si="0">E3*F3</f>
        <v>600</v>
      </c>
    </row>
    <row r="4" spans="1:7">
      <c r="A4" s="2">
        <v>46144</v>
      </c>
      <c r="B4" t="s">
        <v>13</v>
      </c>
      <c r="C4" t="s">
        <v>14</v>
      </c>
      <c r="D4" t="s">
        <v>12</v>
      </c>
      <c r="E4">
        <v>3</v>
      </c>
      <c r="F4">
        <v>280</v>
      </c>
      <c r="G4">
        <f t="shared" si="0"/>
        <v>840</v>
      </c>
    </row>
    <row r="5" spans="1:7">
      <c r="A5" s="2">
        <v>46144</v>
      </c>
      <c r="B5" t="s">
        <v>15</v>
      </c>
      <c r="C5" t="s">
        <v>16</v>
      </c>
      <c r="D5" t="s">
        <v>9</v>
      </c>
      <c r="E5">
        <v>2</v>
      </c>
      <c r="F5">
        <v>950</v>
      </c>
      <c r="G5">
        <f t="shared" si="0"/>
        <v>1900</v>
      </c>
    </row>
    <row r="6" spans="1:7">
      <c r="A6" s="2">
        <v>46145</v>
      </c>
      <c r="B6" t="s">
        <v>7</v>
      </c>
      <c r="C6" t="s">
        <v>17</v>
      </c>
      <c r="D6" t="s">
        <v>18</v>
      </c>
      <c r="E6">
        <v>4</v>
      </c>
      <c r="F6">
        <v>210</v>
      </c>
      <c r="G6">
        <f t="shared" si="0"/>
        <v>840</v>
      </c>
    </row>
    <row r="7" spans="1:7">
      <c r="A7" s="2">
        <v>46145</v>
      </c>
      <c r="B7" t="s">
        <v>10</v>
      </c>
      <c r="C7" t="s">
        <v>19</v>
      </c>
      <c r="D7" t="s">
        <v>20</v>
      </c>
      <c r="E7">
        <v>1</v>
      </c>
      <c r="F7">
        <v>1450</v>
      </c>
      <c r="G7">
        <f t="shared" si="0"/>
        <v>1450</v>
      </c>
    </row>
    <row r="8" spans="1:7">
      <c r="A8" s="2">
        <v>46146</v>
      </c>
      <c r="B8" t="s">
        <v>13</v>
      </c>
      <c r="C8" t="s">
        <v>21</v>
      </c>
      <c r="D8" t="s">
        <v>9</v>
      </c>
      <c r="E8">
        <v>6</v>
      </c>
      <c r="F8">
        <v>180</v>
      </c>
      <c r="G8">
        <f t="shared" si="0"/>
        <v>1080</v>
      </c>
    </row>
    <row r="9" spans="1:7">
      <c r="A9" s="2">
        <v>46146</v>
      </c>
      <c r="B9" t="s">
        <v>15</v>
      </c>
      <c r="C9" t="s">
        <v>22</v>
      </c>
      <c r="D9" t="s">
        <v>23</v>
      </c>
      <c r="E9">
        <v>3</v>
      </c>
      <c r="F9">
        <v>420</v>
      </c>
      <c r="G9">
        <f t="shared" si="0"/>
        <v>1260</v>
      </c>
    </row>
    <row r="10" spans="1:7">
      <c r="A10" s="2">
        <v>46147</v>
      </c>
      <c r="B10" t="s">
        <v>7</v>
      </c>
      <c r="C10" t="s">
        <v>24</v>
      </c>
      <c r="D10" t="s">
        <v>25</v>
      </c>
      <c r="E10">
        <v>2</v>
      </c>
      <c r="F10">
        <v>780</v>
      </c>
      <c r="G10">
        <f t="shared" si="0"/>
        <v>1560</v>
      </c>
    </row>
    <row r="11" spans="1:7">
      <c r="A11" s="2">
        <v>46147</v>
      </c>
      <c r="B11" t="s">
        <v>10</v>
      </c>
      <c r="C11" t="s">
        <v>26</v>
      </c>
      <c r="D11" t="s">
        <v>9</v>
      </c>
      <c r="E11">
        <v>1</v>
      </c>
      <c r="F11">
        <v>4200</v>
      </c>
      <c r="G11">
        <f t="shared" si="0"/>
        <v>4200</v>
      </c>
    </row>
    <row r="12" spans="1:7">
      <c r="A12" s="2">
        <v>46148</v>
      </c>
      <c r="B12" t="s">
        <v>13</v>
      </c>
      <c r="C12" t="s">
        <v>27</v>
      </c>
      <c r="D12" t="s">
        <v>18</v>
      </c>
      <c r="E12">
        <v>4</v>
      </c>
      <c r="F12">
        <v>250</v>
      </c>
      <c r="G12">
        <f t="shared" si="0"/>
        <v>1000</v>
      </c>
    </row>
    <row r="13" spans="1:7">
      <c r="A13" s="2">
        <v>46148</v>
      </c>
      <c r="B13" t="s">
        <v>15</v>
      </c>
      <c r="C13" t="s">
        <v>28</v>
      </c>
      <c r="D13" t="s">
        <v>23</v>
      </c>
      <c r="E13">
        <v>2</v>
      </c>
      <c r="F13">
        <v>560</v>
      </c>
      <c r="G13">
        <f t="shared" si="0"/>
        <v>1120</v>
      </c>
    </row>
    <row r="14" spans="1:7">
      <c r="A14" s="2">
        <v>46149</v>
      </c>
      <c r="B14" t="s">
        <v>7</v>
      </c>
      <c r="C14" t="s">
        <v>29</v>
      </c>
      <c r="D14" t="s">
        <v>9</v>
      </c>
      <c r="E14">
        <v>3</v>
      </c>
      <c r="F14">
        <v>1600</v>
      </c>
      <c r="G14">
        <f t="shared" si="0"/>
        <v>4800</v>
      </c>
    </row>
    <row r="15" spans="1:7">
      <c r="A15" s="2">
        <v>46149</v>
      </c>
      <c r="B15" t="s">
        <v>10</v>
      </c>
      <c r="C15" t="s">
        <v>30</v>
      </c>
      <c r="D15" t="s">
        <v>18</v>
      </c>
      <c r="E15">
        <v>5</v>
      </c>
      <c r="F15">
        <v>320</v>
      </c>
      <c r="G15">
        <f t="shared" si="0"/>
        <v>1600</v>
      </c>
    </row>
    <row r="16" spans="1:7">
      <c r="A16" s="2">
        <v>46150</v>
      </c>
      <c r="B16" t="s">
        <v>13</v>
      </c>
      <c r="C16" t="s">
        <v>31</v>
      </c>
      <c r="D16" t="s">
        <v>32</v>
      </c>
      <c r="E16">
        <v>4</v>
      </c>
      <c r="F16">
        <v>290</v>
      </c>
      <c r="G16">
        <f t="shared" si="0"/>
        <v>1160</v>
      </c>
    </row>
    <row r="17" spans="1:7">
      <c r="A17" s="2">
        <v>46150</v>
      </c>
      <c r="B17" t="s">
        <v>15</v>
      </c>
      <c r="C17" t="s">
        <v>33</v>
      </c>
      <c r="D17" t="s">
        <v>23</v>
      </c>
      <c r="E17">
        <v>10</v>
      </c>
      <c r="F17">
        <v>55</v>
      </c>
      <c r="G17">
        <f t="shared" si="0"/>
        <v>550</v>
      </c>
    </row>
    <row r="18" spans="1:7">
      <c r="A18" s="2">
        <v>46151</v>
      </c>
      <c r="B18" t="s">
        <v>7</v>
      </c>
      <c r="C18" t="s">
        <v>34</v>
      </c>
      <c r="D18" t="s">
        <v>35</v>
      </c>
      <c r="E18">
        <v>2</v>
      </c>
      <c r="F18">
        <v>980</v>
      </c>
      <c r="G18">
        <f t="shared" si="0"/>
        <v>1960</v>
      </c>
    </row>
    <row r="19" spans="1:7">
      <c r="A19" s="2">
        <v>46151</v>
      </c>
      <c r="B19" t="s">
        <v>10</v>
      </c>
      <c r="C19" t="s">
        <v>36</v>
      </c>
      <c r="D19" t="s">
        <v>9</v>
      </c>
      <c r="E19">
        <v>2</v>
      </c>
      <c r="F19">
        <v>1350</v>
      </c>
      <c r="G19">
        <f t="shared" si="0"/>
        <v>2700</v>
      </c>
    </row>
    <row r="20" spans="1:7">
      <c r="A20" s="2">
        <v>46152</v>
      </c>
      <c r="B20" t="s">
        <v>13</v>
      </c>
      <c r="C20" t="s">
        <v>37</v>
      </c>
      <c r="D20" t="s">
        <v>9</v>
      </c>
      <c r="E20">
        <v>1</v>
      </c>
      <c r="F20">
        <v>3900</v>
      </c>
      <c r="G20">
        <f t="shared" si="0"/>
        <v>3900</v>
      </c>
    </row>
    <row r="21" spans="1:7">
      <c r="A21" s="2">
        <v>46152</v>
      </c>
      <c r="B21" t="s">
        <v>15</v>
      </c>
      <c r="C21" t="s">
        <v>38</v>
      </c>
      <c r="D21" t="s">
        <v>12</v>
      </c>
      <c r="E21">
        <v>4</v>
      </c>
      <c r="F21">
        <v>150</v>
      </c>
      <c r="G21">
        <f t="shared" si="0"/>
        <v>600</v>
      </c>
    </row>
    <row r="22" spans="1:7">
      <c r="A22" s="2">
        <v>46153</v>
      </c>
      <c r="B22" t="s">
        <v>7</v>
      </c>
      <c r="C22" t="s">
        <v>37</v>
      </c>
      <c r="D22" t="s">
        <v>9</v>
      </c>
      <c r="E22">
        <v>1</v>
      </c>
      <c r="F22">
        <v>3900</v>
      </c>
      <c r="G22">
        <f>E22*F22</f>
        <v>3900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B019-0E7D-46DD-BD38-ADED6E9AE8A1}">
  <dimension ref="A1:H22"/>
  <sheetViews>
    <sheetView tabSelected="1" workbookViewId="0">
      <selection activeCell="E2" sqref="E2"/>
    </sheetView>
  </sheetViews>
  <sheetFormatPr defaultRowHeight="15"/>
  <cols>
    <col min="1" max="1" width="16.42578125" bestFit="1" customWidth="1"/>
    <col min="2" max="2" width="17.85546875" bestFit="1" customWidth="1"/>
    <col min="4" max="4" width="11.140625" bestFit="1" customWidth="1"/>
    <col min="5" max="5" width="22.28515625" bestFit="1" customWidth="1"/>
    <col min="7" max="7" width="12.85546875" bestFit="1" customWidth="1"/>
    <col min="8" max="8" width="16.140625" bestFit="1" customWidth="1"/>
  </cols>
  <sheetData>
    <row r="1" spans="1:8">
      <c r="A1" s="3" t="s">
        <v>2</v>
      </c>
      <c r="B1" t="s">
        <v>39</v>
      </c>
      <c r="D1" s="3" t="s">
        <v>0</v>
      </c>
      <c r="E1" t="s">
        <v>40</v>
      </c>
      <c r="G1" s="3" t="s">
        <v>1</v>
      </c>
      <c r="H1" t="s">
        <v>41</v>
      </c>
    </row>
    <row r="2" spans="1:8">
      <c r="A2" t="s">
        <v>19</v>
      </c>
      <c r="B2" s="4">
        <v>1450</v>
      </c>
      <c r="D2" s="2">
        <v>46143</v>
      </c>
      <c r="E2" s="4">
        <v>7600</v>
      </c>
      <c r="G2" t="s">
        <v>7</v>
      </c>
      <c r="H2" s="4">
        <v>20060</v>
      </c>
    </row>
    <row r="3" spans="1:8">
      <c r="A3" t="s">
        <v>27</v>
      </c>
      <c r="B3" s="4">
        <v>1000</v>
      </c>
      <c r="D3" s="2">
        <v>46144</v>
      </c>
      <c r="E3" s="4">
        <v>2740</v>
      </c>
      <c r="G3" t="s">
        <v>10</v>
      </c>
      <c r="H3" s="4">
        <v>10550</v>
      </c>
    </row>
    <row r="4" spans="1:8">
      <c r="A4" t="s">
        <v>28</v>
      </c>
      <c r="B4" s="4">
        <v>1120</v>
      </c>
      <c r="D4" s="2">
        <v>46145</v>
      </c>
      <c r="E4" s="4">
        <v>2290</v>
      </c>
      <c r="G4" t="s">
        <v>13</v>
      </c>
      <c r="H4" s="4">
        <v>7980</v>
      </c>
    </row>
    <row r="5" spans="1:8">
      <c r="A5" t="s">
        <v>17</v>
      </c>
      <c r="B5" s="4">
        <v>840</v>
      </c>
      <c r="D5" s="2">
        <v>46146</v>
      </c>
      <c r="E5" s="4">
        <v>2340</v>
      </c>
      <c r="G5" t="s">
        <v>15</v>
      </c>
      <c r="H5" s="4">
        <v>5430</v>
      </c>
    </row>
    <row r="6" spans="1:8">
      <c r="A6" t="s">
        <v>24</v>
      </c>
      <c r="B6" s="4">
        <v>1560</v>
      </c>
      <c r="D6" s="2">
        <v>46147</v>
      </c>
      <c r="E6" s="4">
        <v>5760</v>
      </c>
      <c r="G6" t="s">
        <v>42</v>
      </c>
      <c r="H6" s="4">
        <v>44020</v>
      </c>
    </row>
    <row r="7" spans="1:8">
      <c r="A7" t="s">
        <v>30</v>
      </c>
      <c r="B7" s="4">
        <v>1600</v>
      </c>
      <c r="D7" s="2">
        <v>46148</v>
      </c>
      <c r="E7" s="4">
        <v>2120</v>
      </c>
    </row>
    <row r="8" spans="1:8">
      <c r="A8" t="s">
        <v>16</v>
      </c>
      <c r="B8" s="4">
        <v>1900</v>
      </c>
      <c r="D8" s="2">
        <v>46149</v>
      </c>
      <c r="E8" s="4">
        <v>6400</v>
      </c>
    </row>
    <row r="9" spans="1:8">
      <c r="A9" t="s">
        <v>36</v>
      </c>
      <c r="B9" s="4">
        <v>2700</v>
      </c>
      <c r="D9" s="2">
        <v>46150</v>
      </c>
      <c r="E9" s="4">
        <v>1710</v>
      </c>
    </row>
    <row r="10" spans="1:8">
      <c r="A10" t="s">
        <v>11</v>
      </c>
      <c r="B10" s="4">
        <v>600</v>
      </c>
      <c r="D10" s="2">
        <v>46151</v>
      </c>
      <c r="E10" s="4">
        <v>4660</v>
      </c>
    </row>
    <row r="11" spans="1:8">
      <c r="A11" t="s">
        <v>37</v>
      </c>
      <c r="B11" s="4">
        <v>7800</v>
      </c>
      <c r="D11" s="2">
        <v>46152</v>
      </c>
      <c r="E11" s="4">
        <v>4500</v>
      </c>
    </row>
    <row r="12" spans="1:8">
      <c r="A12" t="s">
        <v>8</v>
      </c>
      <c r="B12" s="4">
        <v>7000</v>
      </c>
      <c r="D12" s="2">
        <v>46153</v>
      </c>
      <c r="E12" s="4">
        <v>3900</v>
      </c>
    </row>
    <row r="13" spans="1:8">
      <c r="A13" t="s">
        <v>26</v>
      </c>
      <c r="B13" s="4">
        <v>4200</v>
      </c>
      <c r="D13" s="2" t="s">
        <v>42</v>
      </c>
      <c r="E13" s="4">
        <v>44020</v>
      </c>
    </row>
    <row r="14" spans="1:8">
      <c r="A14" t="s">
        <v>33</v>
      </c>
      <c r="B14" s="4">
        <v>550</v>
      </c>
    </row>
    <row r="15" spans="1:8">
      <c r="A15" t="s">
        <v>31</v>
      </c>
      <c r="B15" s="4">
        <v>1160</v>
      </c>
    </row>
    <row r="16" spans="1:8">
      <c r="A16" t="s">
        <v>34</v>
      </c>
      <c r="B16" s="4">
        <v>1960</v>
      </c>
    </row>
    <row r="17" spans="1:2">
      <c r="A17" t="s">
        <v>22</v>
      </c>
      <c r="B17" s="4">
        <v>1260</v>
      </c>
    </row>
    <row r="18" spans="1:2">
      <c r="A18" t="s">
        <v>29</v>
      </c>
      <c r="B18" s="4">
        <v>4800</v>
      </c>
    </row>
    <row r="19" spans="1:2">
      <c r="A19" t="s">
        <v>14</v>
      </c>
      <c r="B19" s="4">
        <v>840</v>
      </c>
    </row>
    <row r="20" spans="1:2">
      <c r="A20" t="s">
        <v>38</v>
      </c>
      <c r="B20" s="4">
        <v>600</v>
      </c>
    </row>
    <row r="21" spans="1:2">
      <c r="A21" t="s">
        <v>21</v>
      </c>
      <c r="B21" s="4">
        <v>1080</v>
      </c>
    </row>
    <row r="22" spans="1:2">
      <c r="A22" t="s">
        <v>42</v>
      </c>
      <c r="B22" s="4">
        <v>44020</v>
      </c>
    </row>
  </sheetData>
  <sheetProtection sheet="1" objects="1" scenarios="1"/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CC3F-4C44-4C8D-89AB-396173261E81}">
  <dimension ref="A1:AL359"/>
  <sheetViews>
    <sheetView showGridLines="0" workbookViewId="0">
      <selection activeCell="B11" sqref="B11"/>
    </sheetView>
  </sheetViews>
  <sheetFormatPr defaultRowHeight="15"/>
  <cols>
    <col min="1" max="1" width="11.28515625" customWidth="1"/>
    <col min="2" max="2" width="14.85546875" bestFit="1" customWidth="1"/>
    <col min="4" max="4" width="12.140625" bestFit="1" customWidth="1"/>
    <col min="6" max="6" width="16.7109375" bestFit="1" customWidth="1"/>
    <col min="8" max="8" width="11.140625" customWidth="1"/>
  </cols>
  <sheetData>
    <row r="1" spans="1:38" ht="117" customHeight="1">
      <c r="A1" s="6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>
      <c r="A2" s="5"/>
      <c r="B2" s="8" t="s">
        <v>44</v>
      </c>
      <c r="C2" s="5"/>
      <c r="D2" s="7" t="s">
        <v>45</v>
      </c>
      <c r="E2" s="5"/>
      <c r="F2" s="9" t="s">
        <v>46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>
      <c r="A3" s="5"/>
      <c r="B3" s="8">
        <f>Calculos!H6</f>
        <v>44020</v>
      </c>
      <c r="C3" s="5"/>
      <c r="D3" s="10">
        <f>Calculos!H6/COUNT(Dados!E2:E22)</f>
        <v>2096.1904761904761</v>
      </c>
      <c r="E3" s="5"/>
      <c r="F3" s="9" t="str">
        <f>INDEX(Calculos!G2:G5,MATCH(MAX(Calculos!H2:H5),Calculos!H2:H5,0))</f>
        <v>Ana Souza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1:3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1:3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1:3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1:3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1:3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spans="1:3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:3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:3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:3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:3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 spans="1:3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 spans="1:3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 spans="1:3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 spans="1:38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 spans="1:38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 spans="1:38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 spans="1:38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 spans="1:38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 spans="1:38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 spans="1:38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 spans="1:38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 spans="1:38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 spans="1:38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 spans="1:3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 spans="1:38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 spans="1:38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 spans="1:38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 spans="1:38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 spans="1:38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 spans="1:38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 spans="1:38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 spans="1:38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 spans="1:38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 spans="1:3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 spans="1:38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 spans="1:38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 spans="1:38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 spans="1:38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 spans="1:38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 spans="1: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</sheetData>
  <sheetProtection sheet="1" objects="1" scenarios="1"/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2026-05-22T16:58:01Z</dcterms:created>
  <dcterms:modified xsi:type="dcterms:W3CDTF">2026-05-23T00:34:21Z</dcterms:modified>
  <cp:category/>
  <cp:contentStatus/>
</cp:coreProperties>
</file>